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FYP JULY\"/>
    </mc:Choice>
  </mc:AlternateContent>
  <xr:revisionPtr revIDLastSave="0" documentId="13_ncr:1_{E9D29D36-56B6-44BC-8D56-09D14022F32B}" xr6:coauthVersionLast="47" xr6:coauthVersionMax="47" xr10:uidLastSave="{00000000-0000-0000-0000-000000000000}"/>
  <bookViews>
    <workbookView xWindow="-98" yWindow="-98" windowWidth="21795" windowHeight="13096" xr2:uid="{4EEF80CC-2487-C841-A5FA-0C982A2A84CA}"/>
  </bookViews>
  <sheets>
    <sheet name="Class 1 " sheetId="10" r:id="rId1"/>
    <sheet name="Create Schedule" sheetId="12" r:id="rId2"/>
    <sheet name="Schedule" sheetId="14" r:id="rId3"/>
  </sheets>
  <definedNames>
    <definedName name="Name">'Class 1 '!$B$4:$B$29</definedName>
    <definedName name="solver_adj" localSheetId="0" hidden="1">'Class 1 '!$G$4:$G$29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1" localSheetId="0" hidden="1">'Class 1 '!$G$13:$G$20</definedName>
    <definedName name="solver_lhs10" localSheetId="0" hidden="1">'Class 1 '!$G$5:$G$12</definedName>
    <definedName name="solver_lhs11" localSheetId="0" hidden="1">'Class 1 '!$J$3</definedName>
    <definedName name="solver_lhs2" localSheetId="0" hidden="1">'Class 1 '!$G$13:$G$20</definedName>
    <definedName name="solver_lhs3" localSheetId="0" hidden="1">'Class 1 '!$G$14:$G$20</definedName>
    <definedName name="solver_lhs4" localSheetId="0" hidden="1">'Class 1 '!$G$21:$G$29</definedName>
    <definedName name="solver_lhs5" localSheetId="0" hidden="1">'Class 1 '!$G$21:$G$29</definedName>
    <definedName name="solver_lhs6" localSheetId="0" hidden="1">'Class 1 '!$G$22:$G$29</definedName>
    <definedName name="solver_lhs7" localSheetId="0" hidden="1">'Class 1 '!$G$4:$G$12</definedName>
    <definedName name="solver_lhs8" localSheetId="0" hidden="1">'Class 1 '!$G$4:$G$12</definedName>
    <definedName name="solver_lhs9" localSheetId="0" hidden="1">'Class 1 '!$G$4:$G$29</definedName>
    <definedName name="solver_lin" localSheetId="0" hidden="1">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11</definedName>
    <definedName name="solver_num" localSheetId="2" hidden="1">0</definedName>
    <definedName name="solver_nwt" localSheetId="0" hidden="1">1</definedName>
    <definedName name="solver_opt" localSheetId="0" hidden="1">'Class 1 '!$J$3</definedName>
    <definedName name="solver_opt" localSheetId="2" hidden="1">Schedule!$G$27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2</definedName>
    <definedName name="solver_rel11" localSheetId="0" hidden="1">2</definedName>
    <definedName name="solver_rel2" localSheetId="0" hidden="1">1</definedName>
    <definedName name="solver_rel3" localSheetId="0" hidden="1">2</definedName>
    <definedName name="solver_rel4" localSheetId="0" hidden="1">1</definedName>
    <definedName name="solver_rel5" localSheetId="0" hidden="1">3</definedName>
    <definedName name="solver_rel6" localSheetId="0" hidden="1">2</definedName>
    <definedName name="solver_rel7" localSheetId="0" hidden="1">1</definedName>
    <definedName name="solver_rel8" localSheetId="0" hidden="1">3</definedName>
    <definedName name="solver_rel9" localSheetId="0" hidden="1">3</definedName>
    <definedName name="solver_rhs1" localSheetId="0" hidden="1">5</definedName>
    <definedName name="solver_rhs10" localSheetId="0" hidden="1">'Class 1 '!$G$4</definedName>
    <definedName name="solver_rhs11" localSheetId="0" hidden="1">'Class 1 '!$J$2</definedName>
    <definedName name="solver_rhs2" localSheetId="0" hidden="1">5</definedName>
    <definedName name="solver_rhs3" localSheetId="0" hidden="1">'Class 1 '!$G$13</definedName>
    <definedName name="solver_rhs4" localSheetId="0" hidden="1">10</definedName>
    <definedName name="solver_rhs5" localSheetId="0" hidden="1">5</definedName>
    <definedName name="solver_rhs6" localSheetId="0" hidden="1">'Class 1 '!$G$21</definedName>
    <definedName name="solver_rhs7" localSheetId="0" hidden="1">15</definedName>
    <definedName name="solver_rhs8" localSheetId="0" hidden="1">10</definedName>
    <definedName name="solver_rhs9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4" l="1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6" i="14"/>
  <c r="J3" i="10"/>
  <c r="E6" i="14" l="1"/>
  <c r="D7" i="14" l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F6" i="14"/>
  <c r="E7" i="14" l="1"/>
  <c r="F7" i="14" s="1"/>
  <c r="E8" i="14" s="1"/>
  <c r="F8" i="14" s="1"/>
  <c r="E9" i="14" s="1"/>
  <c r="F9" i="14" s="1"/>
  <c r="E10" i="14" s="1"/>
  <c r="F10" i="14" s="1"/>
  <c r="E11" i="14" s="1"/>
  <c r="F11" i="14" s="1"/>
  <c r="E12" i="14" s="1"/>
  <c r="F12" i="14" s="1"/>
  <c r="E13" i="14" s="1"/>
  <c r="F13" i="14" s="1"/>
  <c r="E14" i="14" s="1"/>
  <c r="F14" i="14" s="1"/>
  <c r="E15" i="14" s="1"/>
  <c r="F15" i="14" s="1"/>
  <c r="E16" i="14" s="1"/>
  <c r="F16" i="14" s="1"/>
  <c r="E17" i="14" s="1"/>
  <c r="F17" i="14" s="1"/>
  <c r="E18" i="14" s="1"/>
  <c r="F18" i="14" s="1"/>
  <c r="E19" i="14" s="1"/>
  <c r="F19" i="14" s="1"/>
  <c r="E20" i="14" s="1"/>
  <c r="F20" i="14" s="1"/>
  <c r="E21" i="14" s="1"/>
  <c r="F21" i="14" s="1"/>
  <c r="E22" i="14" s="1"/>
  <c r="F22" i="14" s="1"/>
  <c r="E23" i="14" s="1"/>
  <c r="F23" i="14" s="1"/>
  <c r="E24" i="14" s="1"/>
  <c r="F24" i="14" s="1"/>
  <c r="E25" i="14" s="1"/>
  <c r="F25" i="14" s="1"/>
  <c r="E26" i="14" s="1"/>
  <c r="F26" i="14" s="1"/>
  <c r="E27" i="14" s="1"/>
  <c r="F27" i="14" s="1"/>
  <c r="E28" i="14" s="1"/>
  <c r="F28" i="14" s="1"/>
  <c r="E29" i="14" s="1"/>
  <c r="F29" i="14" s="1"/>
  <c r="E30" i="14" s="1"/>
  <c r="F30" i="14" s="1"/>
  <c r="E31" i="14" s="1"/>
  <c r="F31" i="14" s="1"/>
  <c r="F33" i="14" l="1"/>
  <c r="C7" i="12"/>
</calcChain>
</file>

<file path=xl/sharedStrings.xml><?xml version="1.0" encoding="utf-8"?>
<sst xmlns="http://schemas.openxmlformats.org/spreadsheetml/2006/main" count="100" uniqueCount="73">
  <si>
    <t xml:space="preserve">Teacher meetings </t>
  </si>
  <si>
    <t xml:space="preserve">NAME </t>
  </si>
  <si>
    <t xml:space="preserve">SURNAME </t>
  </si>
  <si>
    <t>DOB</t>
  </si>
  <si>
    <t xml:space="preserve">progression </t>
  </si>
  <si>
    <t>Abigail</t>
  </si>
  <si>
    <t>Torres</t>
  </si>
  <si>
    <t>WA</t>
  </si>
  <si>
    <t>Alexander</t>
  </si>
  <si>
    <t>Cruz</t>
  </si>
  <si>
    <t>Amelia</t>
  </si>
  <si>
    <t>Hernandez</t>
  </si>
  <si>
    <t>AT</t>
  </si>
  <si>
    <t>Ava</t>
  </si>
  <si>
    <t>Davis</t>
  </si>
  <si>
    <t>Benjamin</t>
  </si>
  <si>
    <t>Martinez</t>
  </si>
  <si>
    <t>Charlotte</t>
  </si>
  <si>
    <t>Garcia</t>
  </si>
  <si>
    <t>Daniel</t>
  </si>
  <si>
    <t>Young</t>
  </si>
  <si>
    <t>Elijah</t>
  </si>
  <si>
    <t>Miller</t>
  </si>
  <si>
    <t>WB</t>
  </si>
  <si>
    <t>Elizabeth</t>
  </si>
  <si>
    <t>Scott</t>
  </si>
  <si>
    <t>Ramirez</t>
  </si>
  <si>
    <t>Emma</t>
  </si>
  <si>
    <t>Smith</t>
  </si>
  <si>
    <t>Ethan</t>
  </si>
  <si>
    <t>Perez</t>
  </si>
  <si>
    <t>Evelyn</t>
  </si>
  <si>
    <t>King</t>
  </si>
  <si>
    <t>Grace</t>
  </si>
  <si>
    <t>Nguyen</t>
  </si>
  <si>
    <t>Harper</t>
  </si>
  <si>
    <t>Gonzalez</t>
  </si>
  <si>
    <t>James</t>
  </si>
  <si>
    <t>Taylor</t>
  </si>
  <si>
    <t>Liam</t>
  </si>
  <si>
    <t>Williams</t>
  </si>
  <si>
    <t>Logan</t>
  </si>
  <si>
    <t>Lopez</t>
  </si>
  <si>
    <t>Lucas</t>
  </si>
  <si>
    <t>Baker</t>
  </si>
  <si>
    <t>Mason</t>
  </si>
  <si>
    <t>Rodriguez</t>
  </si>
  <si>
    <t>Mia</t>
  </si>
  <si>
    <t>Anderson</t>
  </si>
  <si>
    <t>Michael</t>
  </si>
  <si>
    <t>Flores</t>
  </si>
  <si>
    <t>Noah</t>
  </si>
  <si>
    <t>Johnson</t>
  </si>
  <si>
    <t>Olivia</t>
  </si>
  <si>
    <t>Brown</t>
  </si>
  <si>
    <t>Sophia</t>
  </si>
  <si>
    <t>Wilson</t>
  </si>
  <si>
    <t>William</t>
  </si>
  <si>
    <t>Jones</t>
  </si>
  <si>
    <t xml:space="preserve">duration </t>
  </si>
  <si>
    <t xml:space="preserve">CONSTRAINTS </t>
  </si>
  <si>
    <t>SELECT CLASS</t>
  </si>
  <si>
    <t>DATE</t>
  </si>
  <si>
    <t>START TIME</t>
  </si>
  <si>
    <t xml:space="preserve">Meeting </t>
  </si>
  <si>
    <t xml:space="preserve">Start </t>
  </si>
  <si>
    <t xml:space="preserve">End </t>
  </si>
  <si>
    <t xml:space="preserve">total </t>
  </si>
  <si>
    <t>Duration</t>
  </si>
  <si>
    <t xml:space="preserve">Duration </t>
  </si>
  <si>
    <t xml:space="preserve">DURTAION </t>
  </si>
  <si>
    <t xml:space="preserve">Time avalible 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</si>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</sst>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2"/>
      <color theme="1"/>
      <name val="Calibri"/>
      <family val="2"/>
      <scheme val="minor"/>
    </font>
    <font>
      <sz val="10.5"/>
      <color rgb="FF0D0D0D"/>
      <name val="Arial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left"/>
    </xf>
    <xf numFmtId="164" fontId="0" fillId="0" borderId="0" xfId="0" applyNumberFormat="1"/>
    <xf numFmtId="14" fontId="0" fillId="0" borderId="0" xfId="0" applyNumberFormat="1"/>
    <xf numFmtId="1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BB708-2CFE-494E-916F-E9714F251E65}">
  <sheetPr codeName="Sheet1"/>
  <dimension ref="B2:M29"/>
  <sheetViews>
    <sheetView tabSelected="1" zoomScale="80" zoomScaleNormal="80" workbookViewId="0">
      <selection activeCell="F15" sqref="F15"/>
    </sheetView>
  </sheetViews>
  <sheetFormatPr defaultColWidth="11" defaultRowHeight="15.75" x14ac:dyDescent="0.5"/>
  <cols>
    <col min="6" max="6" width="20.1875" customWidth="1"/>
    <col min="7" max="7" width="18.8125" customWidth="1"/>
    <col min="8" max="8" width="21.6875" customWidth="1"/>
    <col min="9" max="9" width="17.6875" customWidth="1"/>
    <col min="12" max="12" width="12.75" customWidth="1"/>
    <col min="14" max="14" width="14.6875" customWidth="1"/>
  </cols>
  <sheetData>
    <row r="2" spans="2:13" x14ac:dyDescent="0.5">
      <c r="I2" t="s">
        <v>71</v>
      </c>
      <c r="J2">
        <v>270</v>
      </c>
      <c r="L2" t="s">
        <v>60</v>
      </c>
    </row>
    <row r="3" spans="2:13" x14ac:dyDescent="0.5">
      <c r="B3" t="s">
        <v>1</v>
      </c>
      <c r="C3" t="s">
        <v>2</v>
      </c>
      <c r="D3" t="s">
        <v>3</v>
      </c>
      <c r="E3" t="s">
        <v>4</v>
      </c>
      <c r="F3" t="s">
        <v>0</v>
      </c>
      <c r="G3" t="s">
        <v>70</v>
      </c>
      <c r="H3" s="5"/>
      <c r="I3" t="s">
        <v>59</v>
      </c>
      <c r="J3" s="4">
        <f>SUM(G4:G29)</f>
        <v>265</v>
      </c>
    </row>
    <row r="4" spans="2:13" x14ac:dyDescent="0.5">
      <c r="B4" s="1" t="s">
        <v>21</v>
      </c>
      <c r="C4" s="1" t="s">
        <v>22</v>
      </c>
      <c r="D4" s="3">
        <v>40909</v>
      </c>
      <c r="E4" s="1" t="s">
        <v>23</v>
      </c>
      <c r="F4">
        <v>1</v>
      </c>
      <c r="G4" s="4">
        <v>15</v>
      </c>
      <c r="H4" s="5"/>
      <c r="L4" t="s">
        <v>23</v>
      </c>
      <c r="M4">
        <v>15</v>
      </c>
    </row>
    <row r="5" spans="2:13" x14ac:dyDescent="0.5">
      <c r="B5" s="1" t="s">
        <v>24</v>
      </c>
      <c r="C5" s="1" t="s">
        <v>25</v>
      </c>
      <c r="D5" s="3">
        <v>41277</v>
      </c>
      <c r="E5" s="1" t="s">
        <v>23</v>
      </c>
      <c r="F5">
        <v>1</v>
      </c>
      <c r="G5" s="4">
        <v>15</v>
      </c>
      <c r="H5" s="5"/>
      <c r="L5" t="s">
        <v>7</v>
      </c>
      <c r="M5">
        <v>5</v>
      </c>
    </row>
    <row r="6" spans="2:13" x14ac:dyDescent="0.5">
      <c r="B6" s="1" t="s">
        <v>35</v>
      </c>
      <c r="C6" s="1" t="s">
        <v>36</v>
      </c>
      <c r="D6" s="3">
        <v>40954</v>
      </c>
      <c r="E6" s="1" t="s">
        <v>23</v>
      </c>
      <c r="F6">
        <v>1</v>
      </c>
      <c r="G6" s="4">
        <v>15</v>
      </c>
      <c r="H6" s="5"/>
      <c r="L6" t="s">
        <v>12</v>
      </c>
      <c r="M6">
        <v>10</v>
      </c>
    </row>
    <row r="7" spans="2:13" x14ac:dyDescent="0.5">
      <c r="B7" s="1" t="s">
        <v>43</v>
      </c>
      <c r="C7" s="1" t="s">
        <v>44</v>
      </c>
      <c r="D7" s="3">
        <v>41319</v>
      </c>
      <c r="E7" s="1" t="s">
        <v>23</v>
      </c>
      <c r="F7">
        <v>1</v>
      </c>
      <c r="G7" s="4">
        <v>15</v>
      </c>
      <c r="H7" s="5"/>
    </row>
    <row r="8" spans="2:13" x14ac:dyDescent="0.5">
      <c r="B8" s="1" t="s">
        <v>45</v>
      </c>
      <c r="C8" s="1" t="s">
        <v>46</v>
      </c>
      <c r="D8" s="3">
        <v>40996</v>
      </c>
      <c r="E8" s="1" t="s">
        <v>23</v>
      </c>
      <c r="F8">
        <v>1</v>
      </c>
      <c r="G8" s="4">
        <v>15</v>
      </c>
      <c r="H8" s="5"/>
    </row>
    <row r="9" spans="2:13" x14ac:dyDescent="0.5">
      <c r="B9" s="1" t="s">
        <v>47</v>
      </c>
      <c r="C9" s="1" t="s">
        <v>48</v>
      </c>
      <c r="D9" s="3">
        <v>41358</v>
      </c>
      <c r="E9" s="1" t="s">
        <v>23</v>
      </c>
      <c r="F9">
        <v>1</v>
      </c>
      <c r="G9" s="4">
        <v>15</v>
      </c>
      <c r="H9" s="5"/>
    </row>
    <row r="10" spans="2:13" x14ac:dyDescent="0.5">
      <c r="B10" s="1" t="s">
        <v>49</v>
      </c>
      <c r="C10" s="1" t="s">
        <v>50</v>
      </c>
      <c r="D10" s="3">
        <v>41011</v>
      </c>
      <c r="E10" s="1" t="s">
        <v>23</v>
      </c>
      <c r="F10">
        <v>1</v>
      </c>
      <c r="G10" s="4">
        <v>15</v>
      </c>
      <c r="H10" s="5"/>
    </row>
    <row r="11" spans="2:13" x14ac:dyDescent="0.5">
      <c r="B11" s="1" t="s">
        <v>51</v>
      </c>
      <c r="C11" s="1" t="s">
        <v>52</v>
      </c>
      <c r="D11" s="3">
        <v>41370</v>
      </c>
      <c r="E11" s="1" t="s">
        <v>23</v>
      </c>
      <c r="F11">
        <v>1</v>
      </c>
      <c r="G11" s="4">
        <v>15</v>
      </c>
      <c r="H11" s="5"/>
    </row>
    <row r="12" spans="2:13" x14ac:dyDescent="0.5">
      <c r="B12" s="1" t="s">
        <v>53</v>
      </c>
      <c r="C12" s="1" t="s">
        <v>54</v>
      </c>
      <c r="D12" s="3">
        <v>41054</v>
      </c>
      <c r="E12" s="1" t="s">
        <v>23</v>
      </c>
      <c r="F12">
        <v>1</v>
      </c>
      <c r="G12" s="4">
        <v>15</v>
      </c>
      <c r="H12" s="5"/>
    </row>
    <row r="13" spans="2:13" x14ac:dyDescent="0.5">
      <c r="B13" s="1" t="s">
        <v>5</v>
      </c>
      <c r="C13" s="1" t="s">
        <v>6</v>
      </c>
      <c r="D13" s="3">
        <v>41411</v>
      </c>
      <c r="E13" s="1" t="s">
        <v>7</v>
      </c>
      <c r="F13">
        <v>1</v>
      </c>
      <c r="G13" s="4">
        <v>5</v>
      </c>
      <c r="H13" s="5"/>
    </row>
    <row r="14" spans="2:13" x14ac:dyDescent="0.5">
      <c r="B14" s="1" t="s">
        <v>8</v>
      </c>
      <c r="C14" s="1" t="s">
        <v>9</v>
      </c>
      <c r="D14" s="3">
        <v>41068</v>
      </c>
      <c r="E14" s="1" t="s">
        <v>7</v>
      </c>
      <c r="F14">
        <v>1</v>
      </c>
      <c r="G14" s="4">
        <v>5</v>
      </c>
      <c r="H14" s="5"/>
    </row>
    <row r="15" spans="2:13" x14ac:dyDescent="0.5">
      <c r="B15" s="1" t="s">
        <v>13</v>
      </c>
      <c r="C15" s="1" t="s">
        <v>14</v>
      </c>
      <c r="D15" s="3">
        <v>41453</v>
      </c>
      <c r="E15" s="1" t="s">
        <v>7</v>
      </c>
      <c r="F15">
        <v>1</v>
      </c>
      <c r="G15" s="4">
        <v>5</v>
      </c>
      <c r="H15" s="5"/>
    </row>
    <row r="16" spans="2:13" x14ac:dyDescent="0.5">
      <c r="B16" s="1" t="s">
        <v>17</v>
      </c>
      <c r="C16" s="1" t="s">
        <v>18</v>
      </c>
      <c r="D16" s="3">
        <v>41110</v>
      </c>
      <c r="E16" s="1" t="s">
        <v>7</v>
      </c>
      <c r="F16">
        <v>1</v>
      </c>
      <c r="G16" s="4">
        <v>5</v>
      </c>
      <c r="H16" s="5"/>
    </row>
    <row r="17" spans="2:8" x14ac:dyDescent="0.5">
      <c r="B17" s="1" t="s">
        <v>31</v>
      </c>
      <c r="C17" s="1" t="s">
        <v>32</v>
      </c>
      <c r="D17" s="3">
        <v>41464</v>
      </c>
      <c r="E17" s="1" t="s">
        <v>7</v>
      </c>
      <c r="F17">
        <v>1</v>
      </c>
      <c r="G17" s="4">
        <v>5</v>
      </c>
      <c r="H17" s="5"/>
    </row>
    <row r="18" spans="2:8" x14ac:dyDescent="0.5">
      <c r="B18" s="1" t="s">
        <v>37</v>
      </c>
      <c r="C18" s="1" t="s">
        <v>38</v>
      </c>
      <c r="D18" s="3">
        <v>41123</v>
      </c>
      <c r="E18" s="1" t="s">
        <v>7</v>
      </c>
      <c r="F18">
        <v>1</v>
      </c>
      <c r="G18" s="4">
        <v>5</v>
      </c>
      <c r="H18" s="5"/>
    </row>
    <row r="19" spans="2:8" x14ac:dyDescent="0.5">
      <c r="B19" s="1" t="s">
        <v>39</v>
      </c>
      <c r="C19" s="1" t="s">
        <v>40</v>
      </c>
      <c r="D19" s="3">
        <v>41506</v>
      </c>
      <c r="E19" s="1" t="s">
        <v>7</v>
      </c>
      <c r="F19">
        <v>1</v>
      </c>
      <c r="G19" s="4">
        <v>5</v>
      </c>
      <c r="H19" s="5"/>
    </row>
    <row r="20" spans="2:8" x14ac:dyDescent="0.5">
      <c r="B20" s="1" t="s">
        <v>41</v>
      </c>
      <c r="C20" s="1" t="s">
        <v>42</v>
      </c>
      <c r="D20" s="3">
        <v>41166</v>
      </c>
      <c r="E20" s="1" t="s">
        <v>7</v>
      </c>
      <c r="F20">
        <v>1</v>
      </c>
      <c r="G20" s="4">
        <v>5</v>
      </c>
      <c r="H20" s="5"/>
    </row>
    <row r="21" spans="2:8" x14ac:dyDescent="0.5">
      <c r="B21" s="1" t="s">
        <v>10</v>
      </c>
      <c r="C21" s="1" t="s">
        <v>11</v>
      </c>
      <c r="D21" s="3">
        <v>41518</v>
      </c>
      <c r="E21" s="1" t="s">
        <v>12</v>
      </c>
      <c r="F21">
        <v>1</v>
      </c>
      <c r="G21" s="4">
        <v>10</v>
      </c>
      <c r="H21" s="5"/>
    </row>
    <row r="22" spans="2:8" x14ac:dyDescent="0.5">
      <c r="B22" s="1" t="s">
        <v>15</v>
      </c>
      <c r="C22" s="1" t="s">
        <v>16</v>
      </c>
      <c r="D22" s="3">
        <v>41208</v>
      </c>
      <c r="E22" s="1" t="s">
        <v>12</v>
      </c>
      <c r="F22">
        <v>1</v>
      </c>
      <c r="G22" s="4">
        <v>10</v>
      </c>
      <c r="H22" s="5"/>
    </row>
    <row r="23" spans="2:8" x14ac:dyDescent="0.5">
      <c r="B23" s="1" t="s">
        <v>19</v>
      </c>
      <c r="C23" s="1" t="s">
        <v>20</v>
      </c>
      <c r="D23" s="3">
        <v>41559</v>
      </c>
      <c r="E23" s="1" t="s">
        <v>12</v>
      </c>
      <c r="F23">
        <v>1</v>
      </c>
      <c r="G23" s="4">
        <v>10</v>
      </c>
      <c r="H23" s="5"/>
    </row>
    <row r="24" spans="2:8" x14ac:dyDescent="0.5">
      <c r="B24" s="1" t="s">
        <v>55</v>
      </c>
      <c r="C24" s="1" t="s">
        <v>26</v>
      </c>
      <c r="D24" s="3">
        <v>41220</v>
      </c>
      <c r="E24" s="1" t="s">
        <v>12</v>
      </c>
      <c r="F24">
        <v>1</v>
      </c>
      <c r="G24" s="4">
        <v>10</v>
      </c>
      <c r="H24" s="5"/>
    </row>
    <row r="25" spans="2:8" x14ac:dyDescent="0.5">
      <c r="B25" s="1" t="s">
        <v>27</v>
      </c>
      <c r="C25" s="1" t="s">
        <v>28</v>
      </c>
      <c r="D25" s="3">
        <v>41601</v>
      </c>
      <c r="E25" s="1" t="s">
        <v>12</v>
      </c>
      <c r="F25">
        <v>1</v>
      </c>
      <c r="G25" s="4">
        <v>10</v>
      </c>
      <c r="H25" s="5"/>
    </row>
    <row r="26" spans="2:8" x14ac:dyDescent="0.5">
      <c r="B26" s="1" t="s">
        <v>29</v>
      </c>
      <c r="C26" s="1" t="s">
        <v>30</v>
      </c>
      <c r="D26" s="3">
        <v>41262</v>
      </c>
      <c r="E26" s="1" t="s">
        <v>12</v>
      </c>
      <c r="F26">
        <v>1</v>
      </c>
      <c r="G26" s="4">
        <v>10</v>
      </c>
      <c r="H26" s="5"/>
    </row>
    <row r="27" spans="2:8" x14ac:dyDescent="0.5">
      <c r="B27" s="1" t="s">
        <v>33</v>
      </c>
      <c r="C27" s="1" t="s">
        <v>34</v>
      </c>
      <c r="D27" s="3">
        <v>41612</v>
      </c>
      <c r="E27" s="1" t="s">
        <v>12</v>
      </c>
      <c r="F27">
        <v>1</v>
      </c>
      <c r="G27" s="4">
        <v>10</v>
      </c>
      <c r="H27" s="5"/>
    </row>
    <row r="28" spans="2:8" x14ac:dyDescent="0.5">
      <c r="B28" s="1" t="s">
        <v>55</v>
      </c>
      <c r="C28" s="1" t="s">
        <v>56</v>
      </c>
      <c r="D28" s="3">
        <v>41289</v>
      </c>
      <c r="E28" s="1" t="s">
        <v>12</v>
      </c>
      <c r="F28">
        <v>1</v>
      </c>
      <c r="G28" s="4">
        <v>10</v>
      </c>
      <c r="H28" s="5"/>
    </row>
    <row r="29" spans="2:8" x14ac:dyDescent="0.5">
      <c r="B29" s="1" t="s">
        <v>57</v>
      </c>
      <c r="C29" s="1" t="s">
        <v>58</v>
      </c>
      <c r="D29" s="3">
        <v>41331</v>
      </c>
      <c r="E29" s="1" t="s">
        <v>12</v>
      </c>
      <c r="F29">
        <v>1</v>
      </c>
      <c r="G29" s="4">
        <v>10</v>
      </c>
      <c r="H29" s="5"/>
    </row>
  </sheetData>
  <sortState xmlns:xlrd2="http://schemas.microsoft.com/office/spreadsheetml/2017/richdata2" ref="B4:G29">
    <sortCondition descending="1" ref="E4:E2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E3145-D8C0-B94B-8F7E-FC4A4A58781D}">
  <sheetPr codeName="Sheet2"/>
  <dimension ref="B4:C9"/>
  <sheetViews>
    <sheetView workbookViewId="0">
      <selection activeCell="C7" sqref="C7"/>
    </sheetView>
  </sheetViews>
  <sheetFormatPr defaultColWidth="11" defaultRowHeight="15.75" x14ac:dyDescent="0.5"/>
  <cols>
    <col min="2" max="2" width="13.8125" customWidth="1"/>
  </cols>
  <sheetData>
    <row r="4" spans="2:3" x14ac:dyDescent="0.5">
      <c r="B4" t="s">
        <v>61</v>
      </c>
    </row>
    <row r="5" spans="2:3" x14ac:dyDescent="0.5">
      <c r="B5" t="s">
        <v>62</v>
      </c>
      <c r="C5" s="3">
        <v>45484</v>
      </c>
    </row>
    <row r="6" spans="2:3" x14ac:dyDescent="0.5">
      <c r="B6" t="s">
        <v>63</v>
      </c>
      <c r="C6" s="2">
        <v>0.5</v>
      </c>
    </row>
    <row r="7" spans="2:3" x14ac:dyDescent="0.5">
      <c r="B7" t="s">
        <v>68</v>
      </c>
      <c r="C7" s="2">
        <f>SUM(Schedule!F31-Schedule!E6)</f>
        <v>0.18402777777777712</v>
      </c>
    </row>
    <row r="9" spans="2:3" x14ac:dyDescent="0.5">
      <c r="C9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6CF99-BBBB-FD47-B9E0-939AE412613C}">
  <sheetPr codeName="Sheet3"/>
  <dimension ref="D5:J33"/>
  <sheetViews>
    <sheetView topLeftCell="A2" zoomScale="94" workbookViewId="0">
      <selection activeCell="I6" sqref="I6:I28"/>
    </sheetView>
  </sheetViews>
  <sheetFormatPr defaultColWidth="11" defaultRowHeight="15.75" x14ac:dyDescent="0.5"/>
  <cols>
    <col min="5" max="5" width="16.8125" customWidth="1"/>
    <col min="7" max="7" width="51" customWidth="1"/>
  </cols>
  <sheetData>
    <row r="5" spans="4:10" x14ac:dyDescent="0.5">
      <c r="D5" t="s">
        <v>64</v>
      </c>
      <c r="E5" t="s">
        <v>65</v>
      </c>
      <c r="F5" t="s">
        <v>66</v>
      </c>
      <c r="H5" t="s">
        <v>69</v>
      </c>
    </row>
    <row r="6" spans="4:10" x14ac:dyDescent="0.5">
      <c r="D6">
        <v>1</v>
      </c>
      <c r="E6" s="2">
        <f>'Create Schedule'!C6</f>
        <v>0.5</v>
      </c>
      <c r="F6" s="2">
        <f>E6+TIME(0,'Class 1 '!G4,0)</f>
        <v>0.51041666666666663</v>
      </c>
      <c r="H6" s="4">
        <f>ROUND('Class 1 '!G4,0)</f>
        <v>15</v>
      </c>
      <c r="I6" s="2" t="str">
        <f>IF(G6&lt;&gt;"","BOOKED","")</f>
        <v/>
      </c>
    </row>
    <row r="7" spans="4:10" x14ac:dyDescent="0.5">
      <c r="D7">
        <f>SUM(D6+1)</f>
        <v>2</v>
      </c>
      <c r="E7" s="2">
        <f>F6</f>
        <v>0.51041666666666663</v>
      </c>
      <c r="F7" s="2">
        <f>E7+TIME(0,'Class 1 '!G5,0)</f>
        <v>0.52083333333333326</v>
      </c>
      <c r="H7" s="4">
        <f>ROUND('Class 1 '!G5,0)</f>
        <v>15</v>
      </c>
      <c r="I7" s="2" t="str">
        <f t="shared" ref="I7:I31" si="0">IF(G7&lt;&gt;"","BOOKED","")</f>
        <v/>
      </c>
    </row>
    <row r="8" spans="4:10" x14ac:dyDescent="0.5">
      <c r="D8">
        <f t="shared" ref="D8:D31" si="1">SUM(D7+1)</f>
        <v>3</v>
      </c>
      <c r="E8" s="2">
        <f t="shared" ref="E8:E31" si="2">F7</f>
        <v>0.52083333333333326</v>
      </c>
      <c r="F8" s="2">
        <f>E8+TIME(0,'Class 1 '!G6,0)</f>
        <v>0.53124999999999989</v>
      </c>
      <c r="H8" s="4">
        <f>ROUND('Class 1 '!G6,0)</f>
        <v>15</v>
      </c>
      <c r="I8" s="2" t="str">
        <f t="shared" si="0"/>
        <v/>
      </c>
    </row>
    <row r="9" spans="4:10" x14ac:dyDescent="0.5">
      <c r="D9">
        <f t="shared" si="1"/>
        <v>4</v>
      </c>
      <c r="E9" s="2">
        <f t="shared" si="2"/>
        <v>0.53124999999999989</v>
      </c>
      <c r="F9" s="2">
        <f>E9+TIME(0,'Class 1 '!G7,0)</f>
        <v>0.54166666666666652</v>
      </c>
      <c r="H9" s="4">
        <f>ROUND('Class 1 '!G7,0)</f>
        <v>15</v>
      </c>
      <c r="I9" s="2" t="str">
        <f t="shared" si="0"/>
        <v/>
      </c>
    </row>
    <row r="10" spans="4:10" x14ac:dyDescent="0.5">
      <c r="D10">
        <f t="shared" si="1"/>
        <v>5</v>
      </c>
      <c r="E10" s="2">
        <f t="shared" si="2"/>
        <v>0.54166666666666652</v>
      </c>
      <c r="F10" s="2">
        <f>E10+TIME(0,'Class 1 '!G8,0)</f>
        <v>0.55208333333333315</v>
      </c>
      <c r="H10" s="4">
        <f>ROUND('Class 1 '!G8,0)</f>
        <v>15</v>
      </c>
      <c r="I10" s="2" t="str">
        <f t="shared" si="0"/>
        <v/>
      </c>
    </row>
    <row r="11" spans="4:10" x14ac:dyDescent="0.5">
      <c r="D11">
        <f t="shared" si="1"/>
        <v>6</v>
      </c>
      <c r="E11" s="2">
        <f t="shared" si="2"/>
        <v>0.55208333333333315</v>
      </c>
      <c r="F11" s="2">
        <f>E11+TIME(0,'Class 1 '!G9,0)</f>
        <v>0.56249999999999978</v>
      </c>
      <c r="H11" s="4">
        <f>ROUND('Class 1 '!G9,0)</f>
        <v>15</v>
      </c>
      <c r="I11" s="2" t="str">
        <f t="shared" si="0"/>
        <v/>
      </c>
    </row>
    <row r="12" spans="4:10" x14ac:dyDescent="0.5">
      <c r="D12">
        <f t="shared" si="1"/>
        <v>7</v>
      </c>
      <c r="E12" s="2">
        <f t="shared" si="2"/>
        <v>0.56249999999999978</v>
      </c>
      <c r="F12" s="2">
        <f>E12+TIME(0,'Class 1 '!G10,0)</f>
        <v>0.57291666666666641</v>
      </c>
      <c r="H12" s="4">
        <f>ROUND('Class 1 '!G10,0)</f>
        <v>15</v>
      </c>
      <c r="I12" s="2" t="str">
        <f t="shared" si="0"/>
        <v/>
      </c>
      <c r="J12" t="s">
        <v>72</v>
      </c>
    </row>
    <row r="13" spans="4:10" x14ac:dyDescent="0.5">
      <c r="D13">
        <f t="shared" si="1"/>
        <v>8</v>
      </c>
      <c r="E13" s="2">
        <f t="shared" si="2"/>
        <v>0.57291666666666641</v>
      </c>
      <c r="F13" s="2">
        <f>E13+TIME(0,'Class 1 '!G11,0)</f>
        <v>0.58333333333333304</v>
      </c>
      <c r="H13" s="4">
        <f>ROUND('Class 1 '!G11,0)</f>
        <v>15</v>
      </c>
      <c r="I13" s="2" t="str">
        <f t="shared" si="0"/>
        <v/>
      </c>
    </row>
    <row r="14" spans="4:10" x14ac:dyDescent="0.5">
      <c r="D14">
        <f t="shared" si="1"/>
        <v>9</v>
      </c>
      <c r="E14" s="2">
        <f t="shared" si="2"/>
        <v>0.58333333333333304</v>
      </c>
      <c r="F14" s="2">
        <f>E14+TIME(0,'Class 1 '!G12,0)</f>
        <v>0.59374999999999967</v>
      </c>
      <c r="H14" s="4">
        <f>ROUND('Class 1 '!G12,0)</f>
        <v>15</v>
      </c>
      <c r="I14" s="2" t="str">
        <f t="shared" si="0"/>
        <v/>
      </c>
    </row>
    <row r="15" spans="4:10" x14ac:dyDescent="0.5">
      <c r="D15">
        <f t="shared" si="1"/>
        <v>10</v>
      </c>
      <c r="E15" s="2">
        <f t="shared" si="2"/>
        <v>0.59374999999999967</v>
      </c>
      <c r="F15" s="2">
        <f>E15+TIME(0,'Class 1 '!G13,0)</f>
        <v>0.59722222222222188</v>
      </c>
      <c r="H15" s="4">
        <f>ROUND('Class 1 '!G13,0)</f>
        <v>5</v>
      </c>
      <c r="I15" s="2" t="str">
        <f t="shared" si="0"/>
        <v/>
      </c>
    </row>
    <row r="16" spans="4:10" x14ac:dyDescent="0.5">
      <c r="D16">
        <f t="shared" si="1"/>
        <v>11</v>
      </c>
      <c r="E16" s="2">
        <f t="shared" si="2"/>
        <v>0.59722222222222188</v>
      </c>
      <c r="F16" s="2">
        <f>E16+TIME(0,'Class 1 '!G14,0)</f>
        <v>0.60069444444444409</v>
      </c>
      <c r="H16" s="4">
        <f>ROUND('Class 1 '!G14,0)</f>
        <v>5</v>
      </c>
      <c r="I16" s="2" t="str">
        <f t="shared" si="0"/>
        <v/>
      </c>
    </row>
    <row r="17" spans="4:9" x14ac:dyDescent="0.5">
      <c r="D17">
        <f t="shared" si="1"/>
        <v>12</v>
      </c>
      <c r="E17" s="2">
        <f t="shared" si="2"/>
        <v>0.60069444444444409</v>
      </c>
      <c r="F17" s="2">
        <f>E17+TIME(0,'Class 1 '!G15,0)</f>
        <v>0.6041666666666663</v>
      </c>
      <c r="H17" s="4">
        <f>ROUND('Class 1 '!G15,0)</f>
        <v>5</v>
      </c>
      <c r="I17" s="2" t="str">
        <f t="shared" si="0"/>
        <v/>
      </c>
    </row>
    <row r="18" spans="4:9" x14ac:dyDescent="0.5">
      <c r="D18">
        <f t="shared" si="1"/>
        <v>13</v>
      </c>
      <c r="E18" s="2">
        <f t="shared" si="2"/>
        <v>0.6041666666666663</v>
      </c>
      <c r="F18" s="2">
        <f>E18+TIME(0,'Class 1 '!G16,0)</f>
        <v>0.60763888888888851</v>
      </c>
      <c r="H18" s="4">
        <f>ROUND('Class 1 '!G16,0)</f>
        <v>5</v>
      </c>
      <c r="I18" s="2" t="str">
        <f t="shared" si="0"/>
        <v/>
      </c>
    </row>
    <row r="19" spans="4:9" x14ac:dyDescent="0.5">
      <c r="D19">
        <f t="shared" si="1"/>
        <v>14</v>
      </c>
      <c r="E19" s="2">
        <f t="shared" si="2"/>
        <v>0.60763888888888851</v>
      </c>
      <c r="F19" s="2">
        <f>E19+TIME(0,'Class 1 '!G17,0)</f>
        <v>0.61111111111111072</v>
      </c>
      <c r="H19" s="4">
        <f>ROUND('Class 1 '!G17,0)</f>
        <v>5</v>
      </c>
      <c r="I19" s="2" t="str">
        <f t="shared" si="0"/>
        <v/>
      </c>
    </row>
    <row r="20" spans="4:9" x14ac:dyDescent="0.5">
      <c r="D20">
        <f t="shared" si="1"/>
        <v>15</v>
      </c>
      <c r="E20" s="2">
        <f t="shared" si="2"/>
        <v>0.61111111111111072</v>
      </c>
      <c r="F20" s="2">
        <f>E20+TIME(0,'Class 1 '!G18,0)</f>
        <v>0.61458333333333293</v>
      </c>
      <c r="H20" s="4">
        <f>ROUND('Class 1 '!G18,0)</f>
        <v>5</v>
      </c>
      <c r="I20" s="2" t="str">
        <f t="shared" si="0"/>
        <v/>
      </c>
    </row>
    <row r="21" spans="4:9" x14ac:dyDescent="0.5">
      <c r="D21">
        <f t="shared" si="1"/>
        <v>16</v>
      </c>
      <c r="E21" s="2">
        <f t="shared" si="2"/>
        <v>0.61458333333333293</v>
      </c>
      <c r="F21" s="2">
        <f>E21+TIME(0,'Class 1 '!G19,0)</f>
        <v>0.61805555555555514</v>
      </c>
      <c r="H21" s="4">
        <f>ROUND('Class 1 '!G19,0)</f>
        <v>5</v>
      </c>
      <c r="I21" s="2" t="str">
        <f t="shared" si="0"/>
        <v/>
      </c>
    </row>
    <row r="22" spans="4:9" x14ac:dyDescent="0.5">
      <c r="D22">
        <f t="shared" si="1"/>
        <v>17</v>
      </c>
      <c r="E22" s="2">
        <f t="shared" si="2"/>
        <v>0.61805555555555514</v>
      </c>
      <c r="F22" s="2">
        <f>E22+TIME(0,'Class 1 '!G20,0)</f>
        <v>0.62152777777777735</v>
      </c>
      <c r="H22" s="4">
        <f>ROUND('Class 1 '!G20,0)</f>
        <v>5</v>
      </c>
      <c r="I22" s="2" t="str">
        <f t="shared" si="0"/>
        <v/>
      </c>
    </row>
    <row r="23" spans="4:9" x14ac:dyDescent="0.5">
      <c r="D23">
        <f t="shared" si="1"/>
        <v>18</v>
      </c>
      <c r="E23" s="2">
        <f t="shared" si="2"/>
        <v>0.62152777777777735</v>
      </c>
      <c r="F23" s="2">
        <f>E23+TIME(0,'Class 1 '!G21,0)</f>
        <v>0.62847222222222177</v>
      </c>
      <c r="H23" s="4">
        <f>ROUND('Class 1 '!G21,0)</f>
        <v>10</v>
      </c>
      <c r="I23" s="2" t="str">
        <f t="shared" si="0"/>
        <v/>
      </c>
    </row>
    <row r="24" spans="4:9" x14ac:dyDescent="0.5">
      <c r="D24">
        <f t="shared" si="1"/>
        <v>19</v>
      </c>
      <c r="E24" s="2">
        <f t="shared" si="2"/>
        <v>0.62847222222222177</v>
      </c>
      <c r="F24" s="2">
        <f>E24+TIME(0,'Class 1 '!G22,0)</f>
        <v>0.63541666666666619</v>
      </c>
      <c r="H24" s="4">
        <f>ROUND('Class 1 '!G22,0)</f>
        <v>10</v>
      </c>
      <c r="I24" s="2" t="str">
        <f t="shared" si="0"/>
        <v/>
      </c>
    </row>
    <row r="25" spans="4:9" x14ac:dyDescent="0.5">
      <c r="D25">
        <f t="shared" si="1"/>
        <v>20</v>
      </c>
      <c r="E25" s="2">
        <f t="shared" si="2"/>
        <v>0.63541666666666619</v>
      </c>
      <c r="F25" s="2">
        <f>E25+TIME(0,'Class 1 '!G23,0)</f>
        <v>0.64236111111111061</v>
      </c>
      <c r="H25" s="4">
        <f>ROUND('Class 1 '!G23,0)</f>
        <v>10</v>
      </c>
      <c r="I25" s="2" t="str">
        <f t="shared" si="0"/>
        <v/>
      </c>
    </row>
    <row r="26" spans="4:9" x14ac:dyDescent="0.5">
      <c r="D26">
        <f t="shared" si="1"/>
        <v>21</v>
      </c>
      <c r="E26" s="2">
        <f t="shared" si="2"/>
        <v>0.64236111111111061</v>
      </c>
      <c r="F26" s="2">
        <f>E26+TIME(0,'Class 1 '!G24,0)</f>
        <v>0.64930555555555503</v>
      </c>
      <c r="H26" s="4">
        <f>ROUND('Class 1 '!G24,0)</f>
        <v>10</v>
      </c>
      <c r="I26" s="2" t="str">
        <f t="shared" si="0"/>
        <v/>
      </c>
    </row>
    <row r="27" spans="4:9" x14ac:dyDescent="0.5">
      <c r="D27">
        <f t="shared" si="1"/>
        <v>22</v>
      </c>
      <c r="E27" s="2">
        <f t="shared" si="2"/>
        <v>0.64930555555555503</v>
      </c>
      <c r="F27" s="2">
        <f>E27+TIME(0,'Class 1 '!G25,0)</f>
        <v>0.65624999999999944</v>
      </c>
      <c r="H27" s="4">
        <f>ROUND('Class 1 '!G25,0)</f>
        <v>10</v>
      </c>
      <c r="I27" s="2" t="str">
        <f t="shared" si="0"/>
        <v/>
      </c>
    </row>
    <row r="28" spans="4:9" x14ac:dyDescent="0.5">
      <c r="D28">
        <f t="shared" si="1"/>
        <v>23</v>
      </c>
      <c r="E28" s="2">
        <f t="shared" si="2"/>
        <v>0.65624999999999944</v>
      </c>
      <c r="F28" s="2">
        <f>E28+TIME(0,'Class 1 '!G26,0)</f>
        <v>0.66319444444444386</v>
      </c>
      <c r="H28" s="4">
        <f>ROUND('Class 1 '!G26,0)</f>
        <v>10</v>
      </c>
      <c r="I28" s="2" t="str">
        <f t="shared" si="0"/>
        <v/>
      </c>
    </row>
    <row r="29" spans="4:9" x14ac:dyDescent="0.5">
      <c r="D29">
        <f t="shared" si="1"/>
        <v>24</v>
      </c>
      <c r="E29" s="2">
        <f t="shared" si="2"/>
        <v>0.66319444444444386</v>
      </c>
      <c r="F29" s="2">
        <f>E29+TIME(0,'Class 1 '!G27,0)</f>
        <v>0.67013888888888828</v>
      </c>
      <c r="H29" s="4">
        <f>ROUND('Class 1 '!G27,0)</f>
        <v>10</v>
      </c>
      <c r="I29" s="2" t="str">
        <f t="shared" si="0"/>
        <v/>
      </c>
    </row>
    <row r="30" spans="4:9" x14ac:dyDescent="0.5">
      <c r="D30">
        <f t="shared" si="1"/>
        <v>25</v>
      </c>
      <c r="E30" s="2">
        <f t="shared" si="2"/>
        <v>0.67013888888888828</v>
      </c>
      <c r="F30" s="2">
        <f>E30+TIME(0,'Class 1 '!G28,0)</f>
        <v>0.6770833333333327</v>
      </c>
      <c r="H30" s="4">
        <f>ROUND('Class 1 '!G28,0)</f>
        <v>10</v>
      </c>
      <c r="I30" s="2" t="str">
        <f t="shared" si="0"/>
        <v/>
      </c>
    </row>
    <row r="31" spans="4:9" x14ac:dyDescent="0.5">
      <c r="D31">
        <f t="shared" si="1"/>
        <v>26</v>
      </c>
      <c r="E31" s="2">
        <f t="shared" si="2"/>
        <v>0.6770833333333327</v>
      </c>
      <c r="F31" s="2">
        <f>E31+TIME(0,'Class 1 '!G29,0)</f>
        <v>0.68402777777777712</v>
      </c>
      <c r="H31" s="4">
        <f>ROUND('Class 1 '!G29,0)</f>
        <v>10</v>
      </c>
      <c r="I31" s="2" t="str">
        <f t="shared" si="0"/>
        <v/>
      </c>
    </row>
    <row r="33" spans="5:6" x14ac:dyDescent="0.5">
      <c r="E33" t="s">
        <v>67</v>
      </c>
      <c r="F33" s="2">
        <f>SUM(F31-E6)</f>
        <v>0.18402777777777712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Class 1 </vt:lpstr>
      <vt:lpstr>Create Schedule</vt:lpstr>
      <vt:lpstr>Schedule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Sammi Roe (15068105)</dc:creator>
  <cp:lastModifiedBy>Sammi Roe</cp:lastModifiedBy>
  <dcterms:created xsi:type="dcterms:W3CDTF">2024-01-24T10:22:55Z</dcterms:created>
  <dcterms:modified xsi:type="dcterms:W3CDTF">2024-07-11T08:49:29Z</dcterms:modified>
</cp:coreProperties>
</file>